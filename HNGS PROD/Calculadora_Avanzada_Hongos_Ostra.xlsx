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HONGOS PROD\"/>
    </mc:Choice>
  </mc:AlternateContent>
  <bookViews>
    <workbookView minimized="1" xWindow="0" yWindow="0" windowWidth="23040" windowHeight="8496" activeTab="2"/>
  </bookViews>
  <sheets>
    <sheet name="Calculadora Encalado Avanzada" sheetId="1" r:id="rId1"/>
    <sheet name="calculadora encalado" sheetId="2" r:id="rId2"/>
    <sheet name="Moodelo p" sheetId="3" r:id="rId3"/>
    <sheet name="pasteurizacion en agua caliente" sheetId="5" r:id="rId4"/>
    <sheet name="reg" sheetId="4" r:id="rId5"/>
  </sheets>
  <calcPr calcId="162913"/>
</workbook>
</file>

<file path=xl/calcChain.xml><?xml version="1.0" encoding="utf-8"?>
<calcChain xmlns="http://schemas.openxmlformats.org/spreadsheetml/2006/main">
  <c r="C15" i="3" l="1"/>
  <c r="C17" i="3"/>
  <c r="C18" i="3"/>
  <c r="C19" i="3"/>
  <c r="C20" i="3"/>
  <c r="C14" i="3"/>
  <c r="G5" i="3"/>
  <c r="B13" i="5"/>
  <c r="B14" i="5" s="1"/>
  <c r="B14" i="3"/>
  <c r="B15" i="3" s="1"/>
  <c r="B25" i="1"/>
  <c r="B15" i="2"/>
  <c r="B14" i="2"/>
  <c r="B13" i="2"/>
  <c r="B11" i="2"/>
  <c r="B12" i="2" s="1"/>
  <c r="B14" i="1"/>
  <c r="B15" i="1" s="1"/>
  <c r="B12" i="1"/>
  <c r="B13" i="1" s="1"/>
  <c r="B17" i="5" l="1"/>
  <c r="B16" i="5"/>
  <c r="B15" i="5"/>
  <c r="B18" i="5" s="1"/>
  <c r="B19" i="5" s="1"/>
  <c r="B20" i="5" s="1"/>
  <c r="B18" i="3"/>
  <c r="B16" i="3"/>
  <c r="B17" i="3" s="1"/>
  <c r="B20" i="3"/>
  <c r="B21" i="3" s="1"/>
  <c r="B22" i="3" s="1"/>
  <c r="B19" i="3"/>
  <c r="B17" i="1"/>
  <c r="B16" i="1"/>
</calcChain>
</file>

<file path=xl/sharedStrings.xml><?xml version="1.0" encoding="utf-8"?>
<sst xmlns="http://schemas.openxmlformats.org/spreadsheetml/2006/main" count="88" uniqueCount="50">
  <si>
    <t>CALCULADORA AVANZADA PRODUCCIÓN HONGOS OSTRA (ENCALADO)</t>
  </si>
  <si>
    <t>DATOS DE ENTRADA</t>
  </si>
  <si>
    <t>Kilos de paja (base seca)</t>
  </si>
  <si>
    <t>Porcentaje de avena (%)</t>
  </si>
  <si>
    <t>Litros de agua por kg de paja</t>
  </si>
  <si>
    <t>Gramos de cal por litro de agua</t>
  </si>
  <si>
    <t>Porcentaje de yeso (%)</t>
  </si>
  <si>
    <t>Porcentaje de carbonato de calcio (%)</t>
  </si>
  <si>
    <t>RESULTADOS AUTOMÁTICOS</t>
  </si>
  <si>
    <t>Kilos de avena necesarios</t>
  </si>
  <si>
    <t>Total mezcla seca (kg)</t>
  </si>
  <si>
    <t>Litros totales de agua</t>
  </si>
  <si>
    <t>Cal necesaria (kg)</t>
  </si>
  <si>
    <t>Yeso necesario (kg)</t>
  </si>
  <si>
    <t>Carbonato de calcio necesario (kg)</t>
  </si>
  <si>
    <t>Tiempo remojo (horas)</t>
  </si>
  <si>
    <t>Tiempo escurrido (horas)</t>
  </si>
  <si>
    <t>Tiempo incubación (días)</t>
  </si>
  <si>
    <t>Tiempo primera cosecha (días desde inoculación)</t>
  </si>
  <si>
    <t>CALCULADORA PRODUCCIÓN HONGOS OSTRA (ENCALADO)</t>
  </si>
  <si>
    <t>Cantidad de tarros (10 L)</t>
  </si>
  <si>
    <t>Volumen por tarro (L)</t>
  </si>
  <si>
    <t>Porcentaje de spawn (%)</t>
  </si>
  <si>
    <t>Litros de agua para encalado</t>
  </si>
  <si>
    <t>Gramos de cal por litro</t>
  </si>
  <si>
    <t>Volumen total de sustrato (L)</t>
  </si>
  <si>
    <t>Spawn necesario (kg aprox)</t>
  </si>
  <si>
    <t>Producción estimada mínima (kg)</t>
  </si>
  <si>
    <t>Producción estimada máxima (kg)</t>
  </si>
  <si>
    <t>🔹 Kg reales de paja usada</t>
  </si>
  <si>
    <t>🔹 % real de avena</t>
  </si>
  <si>
    <t>🔹 Cantidad de spawn usado</t>
  </si>
  <si>
    <t>🔹 Días hasta colonización completa</t>
  </si>
  <si>
    <t>🔹 Días hasta primera cosecha</t>
  </si>
  <si>
    <t>🔹 Kg obtenidos en cada flush</t>
  </si>
  <si>
    <t>fecha</t>
  </si>
  <si>
    <t>MODELO PRODUCTIVO HONGOS OSTRA - ENCALADO</t>
  </si>
  <si>
    <t>Litros de agua por kg de mezcla seca</t>
  </si>
  <si>
    <t>Capacidad por tarro (L)</t>
  </si>
  <si>
    <t>Densidad estimada sustrato húmedo (kg/L)</t>
  </si>
  <si>
    <t>Peso total sustrato húmedo (kg)</t>
  </si>
  <si>
    <t>Volumen total sustrato húmedo (L)</t>
  </si>
  <si>
    <t>Número estimado de tarros</t>
  </si>
  <si>
    <t>MODELO PRODUCCIÓN HONGOS OSTRA - AGUA CALIENTE</t>
  </si>
  <si>
    <t>Tiempo pasteurización (horas a 65-75°C)</t>
  </si>
  <si>
    <t>Días hasta primera cosecha</t>
  </si>
  <si>
    <t>x gramos de cal</t>
  </si>
  <si>
    <t>Litro de agua</t>
  </si>
  <si>
    <t>gramos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</si>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</sst>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25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60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t="s">
        <v>2</v>
      </c>
      <c r="B4" s="2">
        <v>30</v>
      </c>
    </row>
    <row r="5" spans="1:2" x14ac:dyDescent="0.3">
      <c r="A5" t="s">
        <v>3</v>
      </c>
      <c r="B5">
        <v>25</v>
      </c>
    </row>
    <row r="6" spans="1:2" x14ac:dyDescent="0.3">
      <c r="A6" t="s">
        <v>4</v>
      </c>
      <c r="B6">
        <v>10</v>
      </c>
    </row>
    <row r="7" spans="1:2" x14ac:dyDescent="0.3">
      <c r="A7" t="s">
        <v>5</v>
      </c>
      <c r="B7">
        <v>8</v>
      </c>
    </row>
    <row r="8" spans="1:2" x14ac:dyDescent="0.3">
      <c r="A8" t="s">
        <v>6</v>
      </c>
      <c r="B8">
        <v>2</v>
      </c>
    </row>
    <row r="9" spans="1:2" x14ac:dyDescent="0.3">
      <c r="A9" t="s">
        <v>7</v>
      </c>
      <c r="B9">
        <v>1</v>
      </c>
    </row>
    <row r="11" spans="1:2" x14ac:dyDescent="0.3">
      <c r="A11" t="s">
        <v>8</v>
      </c>
    </row>
    <row r="12" spans="1:2" x14ac:dyDescent="0.3">
      <c r="A12" t="s">
        <v>9</v>
      </c>
      <c r="B12" s="1">
        <f>B4*(B5/100)</f>
        <v>7.5</v>
      </c>
    </row>
    <row r="13" spans="1:2" x14ac:dyDescent="0.3">
      <c r="A13" t="s">
        <v>10</v>
      </c>
      <c r="B13" s="1">
        <f>B4+B12</f>
        <v>37.5</v>
      </c>
    </row>
    <row r="14" spans="1:2" x14ac:dyDescent="0.3">
      <c r="A14" t="s">
        <v>11</v>
      </c>
      <c r="B14" s="1">
        <f>B4*B6</f>
        <v>300</v>
      </c>
    </row>
    <row r="15" spans="1:2" x14ac:dyDescent="0.3">
      <c r="A15" t="s">
        <v>12</v>
      </c>
      <c r="B15" s="1">
        <f>(B14*B7)/1000</f>
        <v>2.4</v>
      </c>
    </row>
    <row r="16" spans="1:2" x14ac:dyDescent="0.3">
      <c r="A16" t="s">
        <v>13</v>
      </c>
      <c r="B16" s="1">
        <f>B13*(B8/100)</f>
        <v>0.75</v>
      </c>
    </row>
    <row r="17" spans="1:2" x14ac:dyDescent="0.3">
      <c r="A17" t="s">
        <v>14</v>
      </c>
      <c r="B17" s="1">
        <f>B13*(B9/100)</f>
        <v>0.375</v>
      </c>
    </row>
    <row r="18" spans="1:2" x14ac:dyDescent="0.3">
      <c r="A18" t="s">
        <v>15</v>
      </c>
      <c r="B18">
        <v>18</v>
      </c>
    </row>
    <row r="19" spans="1:2" x14ac:dyDescent="0.3">
      <c r="A19" t="s">
        <v>16</v>
      </c>
      <c r="B19">
        <v>2</v>
      </c>
    </row>
    <row r="20" spans="1:2" x14ac:dyDescent="0.3">
      <c r="A20" t="s">
        <v>17</v>
      </c>
      <c r="B20">
        <v>15</v>
      </c>
    </row>
    <row r="21" spans="1:2" x14ac:dyDescent="0.3">
      <c r="A21" t="s">
        <v>18</v>
      </c>
      <c r="B21">
        <v>22</v>
      </c>
    </row>
    <row r="23" spans="1:2" x14ac:dyDescent="0.3">
      <c r="A23" t="s">
        <v>20</v>
      </c>
      <c r="B23">
        <v>2</v>
      </c>
    </row>
    <row r="24" spans="1:2" x14ac:dyDescent="0.3">
      <c r="A24" t="s">
        <v>21</v>
      </c>
      <c r="B24">
        <v>10</v>
      </c>
    </row>
    <row r="25" spans="1:2" x14ac:dyDescent="0.3">
      <c r="A25" t="s">
        <v>25</v>
      </c>
      <c r="B25">
        <f>B23*B24</f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B15"/>
  <sheetViews>
    <sheetView workbookViewId="0">
      <selection activeCell="B5" sqref="B5"/>
    </sheetView>
  </sheetViews>
  <sheetFormatPr baseColWidth="10" defaultRowHeight="14.4" x14ac:dyDescent="0.3"/>
  <cols>
    <col min="1" max="1" width="50.33203125" bestFit="1" customWidth="1"/>
  </cols>
  <sheetData>
    <row r="1" spans="1:2" x14ac:dyDescent="0.3">
      <c r="A1" t="s">
        <v>19</v>
      </c>
    </row>
    <row r="3" spans="1:2" x14ac:dyDescent="0.3">
      <c r="A3" t="s">
        <v>1</v>
      </c>
    </row>
    <row r="4" spans="1:2" x14ac:dyDescent="0.3">
      <c r="A4" t="s">
        <v>20</v>
      </c>
      <c r="B4">
        <v>3</v>
      </c>
    </row>
    <row r="5" spans="1:2" x14ac:dyDescent="0.3">
      <c r="A5" t="s">
        <v>21</v>
      </c>
      <c r="B5">
        <v>10</v>
      </c>
    </row>
    <row r="6" spans="1:2" x14ac:dyDescent="0.3">
      <c r="A6" t="s">
        <v>22</v>
      </c>
      <c r="B6">
        <v>8</v>
      </c>
    </row>
    <row r="7" spans="1:2" x14ac:dyDescent="0.3">
      <c r="A7" t="s">
        <v>23</v>
      </c>
      <c r="B7">
        <v>50</v>
      </c>
    </row>
    <row r="8" spans="1:2" x14ac:dyDescent="0.3">
      <c r="A8" t="s">
        <v>24</v>
      </c>
      <c r="B8">
        <v>8</v>
      </c>
    </row>
    <row r="10" spans="1:2" x14ac:dyDescent="0.3">
      <c r="A10" t="s">
        <v>8</v>
      </c>
    </row>
    <row r="11" spans="1:2" x14ac:dyDescent="0.3">
      <c r="A11" t="s">
        <v>25</v>
      </c>
      <c r="B11">
        <f>B4*B5</f>
        <v>30</v>
      </c>
    </row>
    <row r="12" spans="1:2" x14ac:dyDescent="0.3">
      <c r="A12" t="s">
        <v>26</v>
      </c>
      <c r="B12">
        <f>B11*(B6/100)</f>
        <v>2.4</v>
      </c>
    </row>
    <row r="13" spans="1:2" x14ac:dyDescent="0.3">
      <c r="A13" t="s">
        <v>12</v>
      </c>
      <c r="B13">
        <f>(B7*B8)/1000</f>
        <v>0.4</v>
      </c>
    </row>
    <row r="14" spans="1:2" x14ac:dyDescent="0.3">
      <c r="A14" t="s">
        <v>27</v>
      </c>
      <c r="B14">
        <f>B4*1</f>
        <v>3</v>
      </c>
    </row>
    <row r="15" spans="1:2" x14ac:dyDescent="0.3">
      <c r="A15" t="s">
        <v>28</v>
      </c>
      <c r="B15">
        <f>B4*1.5</f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5" tint="-0.249977111117893"/>
  </sheetPr>
  <dimension ref="A1:H22"/>
  <sheetViews>
    <sheetView tabSelected="1" workbookViewId="0">
      <selection activeCell="K9" sqref="K9"/>
    </sheetView>
  </sheetViews>
  <sheetFormatPr baseColWidth="10" defaultRowHeight="14.4" x14ac:dyDescent="0.3"/>
  <cols>
    <col min="1" max="1" width="45" bestFit="1" customWidth="1"/>
    <col min="6" max="6" width="22.88671875" bestFit="1" customWidth="1"/>
    <col min="7" max="7" width="13.5546875" bestFit="1" customWidth="1"/>
  </cols>
  <sheetData>
    <row r="1" spans="1:8" x14ac:dyDescent="0.3">
      <c r="A1" t="s">
        <v>36</v>
      </c>
    </row>
    <row r="3" spans="1:8" x14ac:dyDescent="0.3">
      <c r="A3" t="s">
        <v>1</v>
      </c>
      <c r="F3" t="s">
        <v>47</v>
      </c>
      <c r="G3" t="s">
        <v>46</v>
      </c>
      <c r="H3" s="8"/>
    </row>
    <row r="4" spans="1:8" x14ac:dyDescent="0.3">
      <c r="A4" t="s">
        <v>2</v>
      </c>
      <c r="B4" s="1">
        <v>1.5</v>
      </c>
      <c r="F4" s="1">
        <v>18</v>
      </c>
      <c r="G4">
        <v>8</v>
      </c>
    </row>
    <row r="5" spans="1:8" x14ac:dyDescent="0.3">
      <c r="A5" t="s">
        <v>3</v>
      </c>
      <c r="B5">
        <v>20</v>
      </c>
      <c r="G5" s="9">
        <f>F4*G4</f>
        <v>144</v>
      </c>
    </row>
    <row r="6" spans="1:8" x14ac:dyDescent="0.3">
      <c r="A6" t="s">
        <v>37</v>
      </c>
      <c r="B6">
        <v>10</v>
      </c>
    </row>
    <row r="7" spans="1:8" x14ac:dyDescent="0.3">
      <c r="A7" t="s">
        <v>5</v>
      </c>
      <c r="B7">
        <v>8</v>
      </c>
    </row>
    <row r="8" spans="1:8" x14ac:dyDescent="0.3">
      <c r="A8" t="s">
        <v>6</v>
      </c>
      <c r="B8">
        <v>0.8</v>
      </c>
    </row>
    <row r="9" spans="1:8" x14ac:dyDescent="0.3">
      <c r="A9" t="s">
        <v>7</v>
      </c>
      <c r="B9">
        <v>0.8</v>
      </c>
    </row>
    <row r="10" spans="1:8" x14ac:dyDescent="0.3">
      <c r="A10" t="s">
        <v>38</v>
      </c>
      <c r="B10">
        <v>10</v>
      </c>
    </row>
    <row r="11" spans="1:8" x14ac:dyDescent="0.3">
      <c r="A11" t="s">
        <v>39</v>
      </c>
      <c r="B11">
        <v>0.6</v>
      </c>
    </row>
    <row r="13" spans="1:8" x14ac:dyDescent="0.3">
      <c r="A13" t="s">
        <v>8</v>
      </c>
      <c r="B13" t="s">
        <v>49</v>
      </c>
      <c r="C13" t="s">
        <v>48</v>
      </c>
    </row>
    <row r="14" spans="1:8" x14ac:dyDescent="0.3">
      <c r="A14" t="s">
        <v>9</v>
      </c>
      <c r="B14" s="2">
        <f>B4*(B5/100)</f>
        <v>0.30000000000000004</v>
      </c>
      <c r="C14">
        <f>B14*1000</f>
        <v>300.00000000000006</v>
      </c>
    </row>
    <row r="15" spans="1:8" x14ac:dyDescent="0.3">
      <c r="A15" t="s">
        <v>10</v>
      </c>
      <c r="B15" s="2">
        <f>B4+B14</f>
        <v>1.8</v>
      </c>
      <c r="C15">
        <f t="shared" ref="C15:C21" si="0">B15*1000</f>
        <v>1800</v>
      </c>
    </row>
    <row r="16" spans="1:8" x14ac:dyDescent="0.3">
      <c r="A16" s="4" t="s">
        <v>11</v>
      </c>
      <c r="B16" s="4">
        <f>B15*B6</f>
        <v>18</v>
      </c>
    </row>
    <row r="17" spans="1:3" x14ac:dyDescent="0.3">
      <c r="A17" s="2" t="s">
        <v>12</v>
      </c>
      <c r="B17" s="2">
        <f>(B16*B7)/1000</f>
        <v>0.14399999999999999</v>
      </c>
      <c r="C17">
        <f t="shared" si="0"/>
        <v>144</v>
      </c>
    </row>
    <row r="18" spans="1:3" x14ac:dyDescent="0.3">
      <c r="A18" s="5" t="s">
        <v>13</v>
      </c>
      <c r="B18" s="5">
        <f>B15*(B8/100)</f>
        <v>1.4400000000000001E-2</v>
      </c>
      <c r="C18">
        <f t="shared" si="0"/>
        <v>14.400000000000002</v>
      </c>
    </row>
    <row r="19" spans="1:3" x14ac:dyDescent="0.3">
      <c r="A19" s="5" t="s">
        <v>14</v>
      </c>
      <c r="B19" s="5">
        <f>B15*(B9/100)</f>
        <v>1.4400000000000001E-2</v>
      </c>
      <c r="C19">
        <f t="shared" si="0"/>
        <v>14.400000000000002</v>
      </c>
    </row>
    <row r="20" spans="1:3" x14ac:dyDescent="0.3">
      <c r="A20" t="s">
        <v>40</v>
      </c>
      <c r="B20" s="2">
        <f>B15 + (B16*0.9)</f>
        <v>18</v>
      </c>
      <c r="C20">
        <f t="shared" si="0"/>
        <v>18000</v>
      </c>
    </row>
    <row r="21" spans="1:3" x14ac:dyDescent="0.3">
      <c r="A21" t="s">
        <v>41</v>
      </c>
      <c r="B21" s="2">
        <f>B20/B11</f>
        <v>30</v>
      </c>
    </row>
    <row r="22" spans="1:3" x14ac:dyDescent="0.3">
      <c r="A22" s="5" t="s">
        <v>42</v>
      </c>
      <c r="B22" s="5">
        <f>B21/B10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B0F0"/>
  </sheetPr>
  <dimension ref="A1:B24"/>
  <sheetViews>
    <sheetView workbookViewId="0">
      <selection activeCell="G8" sqref="G8"/>
    </sheetView>
  </sheetViews>
  <sheetFormatPr baseColWidth="10" defaultRowHeight="14.4" x14ac:dyDescent="0.3"/>
  <cols>
    <col min="1" max="1" width="49.5546875" bestFit="1" customWidth="1"/>
  </cols>
  <sheetData>
    <row r="1" spans="1:2" x14ac:dyDescent="0.3">
      <c r="A1" t="s">
        <v>43</v>
      </c>
    </row>
    <row r="3" spans="1:2" x14ac:dyDescent="0.3">
      <c r="A3" t="s">
        <v>1</v>
      </c>
    </row>
    <row r="4" spans="1:2" x14ac:dyDescent="0.3">
      <c r="A4" t="s">
        <v>2</v>
      </c>
      <c r="B4" s="1">
        <v>10</v>
      </c>
    </row>
    <row r="5" spans="1:2" x14ac:dyDescent="0.3">
      <c r="A5" t="s">
        <v>3</v>
      </c>
      <c r="B5">
        <v>25</v>
      </c>
    </row>
    <row r="6" spans="1:2" x14ac:dyDescent="0.3">
      <c r="A6" t="s">
        <v>37</v>
      </c>
      <c r="B6">
        <v>8</v>
      </c>
    </row>
    <row r="7" spans="1:2" x14ac:dyDescent="0.3">
      <c r="A7" t="s">
        <v>6</v>
      </c>
      <c r="B7">
        <v>2</v>
      </c>
    </row>
    <row r="8" spans="1:2" x14ac:dyDescent="0.3">
      <c r="A8" t="s">
        <v>7</v>
      </c>
      <c r="B8">
        <v>1</v>
      </c>
    </row>
    <row r="9" spans="1:2" x14ac:dyDescent="0.3">
      <c r="A9" t="s">
        <v>38</v>
      </c>
      <c r="B9">
        <v>10</v>
      </c>
    </row>
    <row r="10" spans="1:2" x14ac:dyDescent="0.3">
      <c r="A10" t="s">
        <v>39</v>
      </c>
      <c r="B10">
        <v>0.65</v>
      </c>
    </row>
    <row r="12" spans="1:2" x14ac:dyDescent="0.3">
      <c r="A12" t="s">
        <v>8</v>
      </c>
    </row>
    <row r="13" spans="1:2" x14ac:dyDescent="0.3">
      <c r="A13" t="s">
        <v>9</v>
      </c>
      <c r="B13" s="2">
        <f>B4*(B5/100)</f>
        <v>2.5</v>
      </c>
    </row>
    <row r="14" spans="1:2" x14ac:dyDescent="0.3">
      <c r="A14" t="s">
        <v>10</v>
      </c>
      <c r="B14" s="2">
        <f>B4+B13</f>
        <v>12.5</v>
      </c>
    </row>
    <row r="15" spans="1:2" x14ac:dyDescent="0.3">
      <c r="A15" s="6" t="s">
        <v>11</v>
      </c>
      <c r="B15" s="6">
        <f>B14*B6</f>
        <v>100</v>
      </c>
    </row>
    <row r="16" spans="1:2" x14ac:dyDescent="0.3">
      <c r="A16" t="s">
        <v>13</v>
      </c>
      <c r="B16" s="2">
        <f>B14*(B7/100)</f>
        <v>0.25</v>
      </c>
    </row>
    <row r="17" spans="1:2" x14ac:dyDescent="0.3">
      <c r="A17" t="s">
        <v>14</v>
      </c>
      <c r="B17" s="2">
        <f>B14*(B8/100)</f>
        <v>0.125</v>
      </c>
    </row>
    <row r="18" spans="1:2" x14ac:dyDescent="0.3">
      <c r="A18" t="s">
        <v>40</v>
      </c>
      <c r="B18" s="2">
        <f>B14 + (B15*0.85)</f>
        <v>97.5</v>
      </c>
    </row>
    <row r="19" spans="1:2" x14ac:dyDescent="0.3">
      <c r="A19" t="s">
        <v>41</v>
      </c>
      <c r="B19" s="2">
        <f>B18/B10</f>
        <v>150</v>
      </c>
    </row>
    <row r="20" spans="1:2" x14ac:dyDescent="0.3">
      <c r="A20" s="7" t="s">
        <v>42</v>
      </c>
      <c r="B20" s="7">
        <f>B19/B9</f>
        <v>15</v>
      </c>
    </row>
    <row r="21" spans="1:2" x14ac:dyDescent="0.3">
      <c r="A21" t="s">
        <v>44</v>
      </c>
      <c r="B21">
        <v>1.5</v>
      </c>
    </row>
    <row r="22" spans="1:2" x14ac:dyDescent="0.3">
      <c r="A22" t="s">
        <v>16</v>
      </c>
      <c r="B22">
        <v>3</v>
      </c>
    </row>
    <row r="23" spans="1:2" x14ac:dyDescent="0.3">
      <c r="A23" t="s">
        <v>17</v>
      </c>
      <c r="B23">
        <v>14</v>
      </c>
    </row>
    <row r="24" spans="1:2" x14ac:dyDescent="0.3">
      <c r="A24" t="s">
        <v>45</v>
      </c>
      <c r="B2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18"/>
  <sheetViews>
    <sheetView workbookViewId="0">
      <selection activeCell="E23" sqref="E23"/>
    </sheetView>
  </sheetViews>
  <sheetFormatPr baseColWidth="10" defaultRowHeight="14.4" x14ac:dyDescent="0.3"/>
  <cols>
    <col min="2" max="2" width="24.21875" customWidth="1"/>
    <col min="3" max="3" width="16.109375" bestFit="1" customWidth="1"/>
    <col min="4" max="4" width="24.109375" bestFit="1" customWidth="1"/>
    <col min="5" max="5" width="30.6640625" bestFit="1" customWidth="1"/>
    <col min="6" max="6" width="25.6640625" bestFit="1" customWidth="1"/>
    <col min="7" max="7" width="25" bestFit="1" customWidth="1"/>
  </cols>
  <sheetData>
    <row r="1" spans="1:7" x14ac:dyDescent="0.3">
      <c r="A1" t="s">
        <v>35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spans="1:7" x14ac:dyDescent="0.3">
      <c r="B2" s="3"/>
      <c r="C2" s="3"/>
      <c r="D2" s="3"/>
      <c r="E2" s="3"/>
      <c r="F2" s="3"/>
      <c r="G2" s="3"/>
    </row>
    <row r="3" spans="1:7" x14ac:dyDescent="0.3">
      <c r="B3" s="3"/>
      <c r="C3" s="3"/>
      <c r="D3" s="3"/>
      <c r="E3" s="3"/>
      <c r="F3" s="3"/>
      <c r="G3" s="3"/>
    </row>
    <row r="4" spans="1:7" x14ac:dyDescent="0.3">
      <c r="B4" s="3"/>
      <c r="C4" s="3"/>
      <c r="D4" s="3"/>
      <c r="E4" s="3"/>
      <c r="F4" s="3"/>
      <c r="G4" s="3"/>
    </row>
    <row r="5" spans="1:7" x14ac:dyDescent="0.3">
      <c r="B5" s="3"/>
      <c r="C5" s="3"/>
      <c r="D5" s="3"/>
      <c r="E5" s="3"/>
      <c r="F5" s="3"/>
      <c r="G5" s="3"/>
    </row>
    <row r="6" spans="1:7" x14ac:dyDescent="0.3">
      <c r="B6" s="3"/>
      <c r="C6" s="3"/>
      <c r="D6" s="3"/>
      <c r="E6" s="3"/>
      <c r="F6" s="3"/>
      <c r="G6" s="3"/>
    </row>
    <row r="7" spans="1:7" x14ac:dyDescent="0.3">
      <c r="B7" s="3"/>
      <c r="C7" s="3"/>
      <c r="D7" s="3"/>
      <c r="E7" s="3"/>
      <c r="F7" s="3"/>
      <c r="G7" s="3"/>
    </row>
    <row r="8" spans="1:7" x14ac:dyDescent="0.3">
      <c r="B8" s="3"/>
      <c r="C8" s="3"/>
      <c r="D8" s="3"/>
      <c r="E8" s="3"/>
      <c r="F8" s="3"/>
      <c r="G8" s="3"/>
    </row>
    <row r="9" spans="1:7" x14ac:dyDescent="0.3">
      <c r="B9" s="3"/>
      <c r="C9" s="3"/>
      <c r="D9" s="3"/>
      <c r="E9" s="3"/>
      <c r="F9" s="3"/>
      <c r="G9" s="3"/>
    </row>
    <row r="10" spans="1:7" x14ac:dyDescent="0.3">
      <c r="B10" s="3"/>
      <c r="C10" s="3"/>
      <c r="D10" s="3"/>
      <c r="E10" s="3"/>
      <c r="F10" s="3"/>
      <c r="G10" s="3"/>
    </row>
    <row r="11" spans="1:7" x14ac:dyDescent="0.3">
      <c r="B11" s="3"/>
      <c r="C11" s="3"/>
      <c r="D11" s="3"/>
      <c r="E11" s="3"/>
      <c r="F11" s="3"/>
      <c r="G11" s="3"/>
    </row>
    <row r="12" spans="1:7" x14ac:dyDescent="0.3">
      <c r="B12" s="3"/>
      <c r="C12" s="3"/>
      <c r="D12" s="3"/>
      <c r="E12" s="3"/>
      <c r="F12" s="3"/>
      <c r="G12" s="3"/>
    </row>
    <row r="13" spans="1:7" x14ac:dyDescent="0.3">
      <c r="B13" s="3"/>
      <c r="C13" s="3"/>
      <c r="D13" s="3"/>
      <c r="E13" s="3"/>
      <c r="F13" s="3"/>
      <c r="G13" s="3"/>
    </row>
    <row r="14" spans="1:7" x14ac:dyDescent="0.3">
      <c r="B14" s="3"/>
      <c r="C14" s="3"/>
      <c r="D14" s="3"/>
      <c r="E14" s="3"/>
      <c r="F14" s="3"/>
      <c r="G14" s="3"/>
    </row>
    <row r="15" spans="1:7" x14ac:dyDescent="0.3">
      <c r="B15" s="3"/>
      <c r="C15" s="3"/>
      <c r="D15" s="3"/>
      <c r="E15" s="3"/>
      <c r="F15" s="3"/>
      <c r="G15" s="3"/>
    </row>
    <row r="16" spans="1:7" x14ac:dyDescent="0.3">
      <c r="B16" s="3"/>
      <c r="C16" s="3"/>
      <c r="D16" s="3"/>
      <c r="E16" s="3"/>
      <c r="F16" s="3"/>
      <c r="G16" s="3"/>
    </row>
    <row r="17" spans="2:7" x14ac:dyDescent="0.3">
      <c r="B17" s="3"/>
      <c r="C17" s="3"/>
      <c r="D17" s="3"/>
      <c r="E17" s="3"/>
      <c r="F17" s="3"/>
      <c r="G17" s="3"/>
    </row>
    <row r="18" spans="2:7" x14ac:dyDescent="0.3">
      <c r="B18" s="3"/>
      <c r="C18" s="3"/>
      <c r="D18" s="3"/>
      <c r="E18" s="3"/>
      <c r="F18" s="3"/>
      <c r="G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Calculadora Encalado Avanzada</vt:lpstr>
      <vt:lpstr>calculadora encalado</vt:lpstr>
      <vt:lpstr>Moodelo p</vt:lpstr>
      <vt:lpstr>pasteurizacion en agua caliente</vt:lpstr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2026-02-13T11:51:49Z</dcterms:created>
  <dcterms:modified xsi:type="dcterms:W3CDTF">2026-02-13T23:59:05Z</dcterms:modified>
</cp:coreProperties>
</file>