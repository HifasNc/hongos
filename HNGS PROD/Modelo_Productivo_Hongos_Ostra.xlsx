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Productivo Os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PRODUCTIVO HONGOS OSTRA - ENCALADO</t>
        </is>
      </c>
    </row>
    <row r="3">
      <c r="A3" t="inlineStr">
        <is>
          <t>DATOS DE ENTRADA</t>
        </is>
      </c>
    </row>
    <row r="4">
      <c r="A4" t="inlineStr">
        <is>
          <t>Kilos de paja (base seca)</t>
        </is>
      </c>
      <c r="B4" t="n">
        <v>100</v>
      </c>
    </row>
    <row r="5">
      <c r="A5" t="inlineStr">
        <is>
          <t>Porcentaje de avena (%)</t>
        </is>
      </c>
      <c r="B5" t="n">
        <v>25</v>
      </c>
    </row>
    <row r="6">
      <c r="A6" t="inlineStr">
        <is>
          <t>Litros de agua por kg de mezcla seca</t>
        </is>
      </c>
      <c r="B6" t="n">
        <v>10</v>
      </c>
    </row>
    <row r="7">
      <c r="A7" t="inlineStr">
        <is>
          <t>Gramos de cal por litro de agua</t>
        </is>
      </c>
      <c r="B7" t="n">
        <v>8</v>
      </c>
    </row>
    <row r="8">
      <c r="A8" t="inlineStr">
        <is>
          <t>Porcentaje de yeso (%)</t>
        </is>
      </c>
      <c r="B8" t="n">
        <v>2</v>
      </c>
    </row>
    <row r="9">
      <c r="A9" t="inlineStr">
        <is>
          <t>Porcentaje de carbonato de calcio (%)</t>
        </is>
      </c>
      <c r="B9" t="n">
        <v>1</v>
      </c>
    </row>
    <row r="10">
      <c r="A10" t="inlineStr">
        <is>
          <t>Capacidad por tarro (L)</t>
        </is>
      </c>
      <c r="B10" t="n">
        <v>10</v>
      </c>
    </row>
    <row r="11">
      <c r="A11" t="inlineStr">
        <is>
          <t>Densidad estimada sustrato húmedo (kg/L)</t>
        </is>
      </c>
      <c r="B11" t="n">
        <v>0.6</v>
      </c>
    </row>
    <row r="13">
      <c r="A13" t="inlineStr">
        <is>
          <t>RESULTADOS AUTOMÁTICOS</t>
        </is>
      </c>
    </row>
    <row r="14">
      <c r="A14" t="inlineStr">
        <is>
          <t>Kilos de avena necesarios</t>
        </is>
      </c>
      <c r="B14">
        <f>B4*(B5/100)</f>
        <v/>
      </c>
    </row>
    <row r="15">
      <c r="A15" t="inlineStr">
        <is>
          <t>Total mezcla seca (kg)</t>
        </is>
      </c>
      <c r="B15">
        <f>B4+B14</f>
        <v/>
      </c>
    </row>
    <row r="16">
      <c r="A16" t="inlineStr">
        <is>
          <t>Litros totales de agua</t>
        </is>
      </c>
      <c r="B16">
        <f>B15*B6</f>
        <v/>
      </c>
    </row>
    <row r="17">
      <c r="A17" t="inlineStr">
        <is>
          <t>Cal necesaria (kg)</t>
        </is>
      </c>
      <c r="B17">
        <f>(B16*B7)/1000</f>
        <v/>
      </c>
    </row>
    <row r="18">
      <c r="A18" t="inlineStr">
        <is>
          <t>Yeso necesario (kg)</t>
        </is>
      </c>
      <c r="B18">
        <f>B15*(B8/100)</f>
        <v/>
      </c>
    </row>
    <row r="19">
      <c r="A19" t="inlineStr">
        <is>
          <t>Carbonato de calcio necesario (kg)</t>
        </is>
      </c>
      <c r="B19">
        <f>B15*(B9/100)</f>
        <v/>
      </c>
    </row>
    <row r="20">
      <c r="A20" t="inlineStr">
        <is>
          <t>Peso total sustrato húmedo (kg)</t>
        </is>
      </c>
      <c r="B20">
        <f>B15 + (B16*0.9)</f>
        <v/>
      </c>
    </row>
    <row r="21">
      <c r="A21" t="inlineStr">
        <is>
          <t>Volumen total sustrato húmedo (L)</t>
        </is>
      </c>
      <c r="B21">
        <f>B20/B11</f>
        <v/>
      </c>
    </row>
    <row r="22">
      <c r="A22" t="inlineStr">
        <is>
          <t>Número estimado de tarros</t>
        </is>
      </c>
      <c r="B22">
        <f>B21/B10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2026-02-13T12:03:36Z</dcterms:created>
  <dcterms:modified xmlns:dcterms="http://purl.org/dc/terms/" xmlns:xsi="http://www.w3.org/2001/XMLSchema-instance" xsi:type="dcterms:W3CDTF">2026-02-13T12:03:36Z</dcterms:modified>
</cp:coreProperties>
</file>